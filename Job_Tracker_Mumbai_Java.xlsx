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s" sheetId="1" state="visible" r:id="rId3"/>
    <sheet name="Summary" sheetId="2" state="visible" r:id="rId4"/>
    <sheet name="Excluded" sheetId="3" state="visible" r:id="rId5"/>
  </sheets>
  <definedNames>
    <definedName function="false" hidden="true" localSheetId="0" name="_xlnm._FilterDatabase" vbProcedure="false">Jobs!$A$1:$O$33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<sst xmlns="http://schemas.openxmlformats.org/spreadsheetml/2006/main" count="348" uniqueCount="165">
  <si>
    <t xml:space="preserve">#</t>
  </si>
  <si>
    <t xml:space="preserve">Priority</t>
  </si>
  <si>
    <t xml:space="preserve">Company</t>
  </si>
  <si>
    <t xml:space="preserve">Role</t>
  </si>
  <si>
    <t xml:space="preserve">Location</t>
  </si>
  <si>
    <t xml:space="preserve">Experience</t>
  </si>
  <si>
    <t xml:space="preserve">Source</t>
  </si>
  <si>
    <t xml:space="preserve">Approx. Posted</t>
  </si>
  <si>
    <t xml:space="preserve">Age (days)</t>
  </si>
  <si>
    <t xml:space="preserve">Fit</t>
  </si>
  <si>
    <t xml:space="preserve">Status</t>
  </si>
  <si>
    <t xml:space="preserve">Date Applied</t>
  </si>
  <si>
    <t xml:space="preserve">Link</t>
  </si>
  <si>
    <t xml:space="preserve">Notes</t>
  </si>
  <si>
    <t xml:space="preserve">Date Found</t>
  </si>
  <si>
    <t xml:space="preserve">Neemtree</t>
  </si>
  <si>
    <t xml:space="preserve">Senior Java Developer</t>
  </si>
  <si>
    <t xml:space="preserve">Mumbai</t>
  </si>
  <si>
    <t xml:space="preserve">5-8 yrs</t>
  </si>
  <si>
    <t xml:space="preserve">Other</t>
  </si>
  <si>
    <t xml:space="preserve">High</t>
  </si>
  <si>
    <t xml:space="preserve">Not applied</t>
  </si>
  <si>
    <t xml:space="preserve">Open</t>
  </si>
  <si>
    <t xml:space="preserve">Listed Rs 14-24 LPA (Weekday)</t>
  </si>
  <si>
    <t xml:space="preserve">HYrEzy Tech Solutions</t>
  </si>
  <si>
    <t xml:space="preserve">Java Microservices Engineers - Remote</t>
  </si>
  <si>
    <t xml:space="preserve">Remote</t>
  </si>
  <si>
    <t xml:space="preserve">4-8 yrs</t>
  </si>
  <si>
    <t xml:space="preserve">LinkedIn</t>
  </si>
  <si>
    <t xml:space="preserve">Java 11/17+, Spring Boot, Spring Cloud. Recruiter-posted</t>
  </si>
  <si>
    <t xml:space="preserve">JPMorganChase</t>
  </si>
  <si>
    <t xml:space="preserve">Software Engineer II - Agentic AI, Java, AWS, Spring Boot, Kafka</t>
  </si>
  <si>
    <t xml:space="preserve">Not stated</t>
  </si>
  <si>
    <t xml:space="preserve">Best fit: Kafka + your AI-assisted upgrade tool</t>
  </si>
  <si>
    <t xml:space="preserve">NTT DATA</t>
  </si>
  <si>
    <t xml:space="preserve">Software Engineer / Sr Software Engineer - Java Developer</t>
  </si>
  <si>
    <t xml:space="preserve">Mumbai / Thane / Navi Mumbai</t>
  </si>
  <si>
    <t xml:space="preserve">Naukri</t>
  </si>
  <si>
    <t xml:space="preserve">Core Java, Kafka, SQL, Spring Boot, Microservices</t>
  </si>
  <si>
    <t xml:space="preserve">Capgemini</t>
  </si>
  <si>
    <t xml:space="preserve">Java with Kafka and AWS</t>
  </si>
  <si>
    <t xml:space="preserve">Mumbai / Navi Mumbai / Bengaluru</t>
  </si>
  <si>
    <t xml:space="preserve">6-11 yrs</t>
  </si>
  <si>
    <t xml:space="preserve">Medium</t>
  </si>
  <si>
    <t xml:space="preserve">Stretch on experience; stack matches. Hybrid</t>
  </si>
  <si>
    <t xml:space="preserve">Accenture</t>
  </si>
  <si>
    <t xml:space="preserve">Full Stack Engineer (Java)</t>
  </si>
  <si>
    <t xml:space="preserve">5+ yrs</t>
  </si>
  <si>
    <t xml:space="preserve">Java full stack; Mumbai office</t>
  </si>
  <si>
    <t xml:space="preserve">Mattecurve Technologies</t>
  </si>
  <si>
    <t xml:space="preserve">Senior Java Software Engineer - Remote Contract</t>
  </si>
  <si>
    <t xml:space="preserve">4+ yrs</t>
  </si>
  <si>
    <t xml:space="preserve">Contract role, not full-time</t>
  </si>
  <si>
    <t xml:space="preserve">Naukri (company not shown)</t>
  </si>
  <si>
    <t xml:space="preserve">Java Spring Boot Developer</t>
  </si>
  <si>
    <t xml:space="preserve">3-6 yrs</t>
  </si>
  <si>
    <t xml:space="preserve">Hibernate, MySQL, Microservices</t>
  </si>
  <si>
    <t xml:space="preserve">Mount Talent Consulting</t>
  </si>
  <si>
    <t xml:space="preserve">Senior Java Developer - Backend Engineering</t>
  </si>
  <si>
    <t xml:space="preserve">Staffing agency</t>
  </si>
  <si>
    <t xml:space="preserve">Experis</t>
  </si>
  <si>
    <t xml:space="preserve">Backend Developer / Software Engineer</t>
  </si>
  <si>
    <t xml:space="preserve">Thane / Mumbai</t>
  </si>
  <si>
    <t xml:space="preserve">Algodomain</t>
  </si>
  <si>
    <t xml:space="preserve">Senior Java Backend Engineer</t>
  </si>
  <si>
    <t xml:space="preserve">Java 17, Spring Boot 3, Kubernetes. Listed Chicago/London/Remote - confirm India is allowed</t>
  </si>
  <si>
    <t xml:space="preserve">NEC Software Solutions</t>
  </si>
  <si>
    <t xml:space="preserve">Senior Software Engineer - Java, Angular</t>
  </si>
  <si>
    <t xml:space="preserve">Mid-Senior</t>
  </si>
  <si>
    <t xml:space="preserve">Full-stack (Angular)</t>
  </si>
  <si>
    <t xml:space="preserve">Mindbrain</t>
  </si>
  <si>
    <t xml:space="preserve">Senior Java &amp; Node.js Developer</t>
  </si>
  <si>
    <t xml:space="preserve">6-10 yrs</t>
  </si>
  <si>
    <t xml:space="preserve">Stretch on experience; immediate joiners preferred</t>
  </si>
  <si>
    <t xml:space="preserve">Mphasis</t>
  </si>
  <si>
    <t xml:space="preserve">Java Software Engineer</t>
  </si>
  <si>
    <t xml:space="preserve">At the 7-day edge</t>
  </si>
  <si>
    <t xml:space="preserve">2-6 yrs</t>
  </si>
  <si>
    <t xml:space="preserve">Low</t>
  </si>
  <si>
    <t xml:space="preserve">Junior-leaning band</t>
  </si>
  <si>
    <t xml:space="preserve">Nium</t>
  </si>
  <si>
    <t xml:space="preserve">SDE II - Java Backend: Issuance</t>
  </si>
  <si>
    <t xml:space="preserve">Verify</t>
  </si>
  <si>
    <t xml:space="preserve">Fintech; posted ~24h ago. Confirm location</t>
  </si>
  <si>
    <t xml:space="preserve">WillWare Technologies</t>
  </si>
  <si>
    <t xml:space="preserve">Java Microservices Developer (GCP)</t>
  </si>
  <si>
    <t xml:space="preserve">Java, Spring Boot, Kafka, GCP. Confirm location</t>
  </si>
  <si>
    <t xml:space="preserve">Mastercard</t>
  </si>
  <si>
    <t xml:space="preserve">Senior Full-Stack Engineer - React, TypeScript, Node, Java</t>
  </si>
  <si>
    <t xml:space="preserve">Matches your React/Node/Java mix. Confirm location</t>
  </si>
  <si>
    <t xml:space="preserve">Finlabs India</t>
  </si>
  <si>
    <t xml:space="preserve">3-5 yrs</t>
  </si>
  <si>
    <t xml:space="preserve">Confirm location</t>
  </si>
  <si>
    <t xml:space="preserve">Flexton Inc.</t>
  </si>
  <si>
    <t xml:space="preserve">Senior Java Backend Engineer (Prosper migration)</t>
  </si>
  <si>
    <t xml:space="preserve">Listed as India; confirm city/remote</t>
  </si>
  <si>
    <t xml:space="preserve">Software Engineer II</t>
  </si>
  <si>
    <t xml:space="preserve">Confirm location and stack</t>
  </si>
  <si>
    <t xml:space="preserve">Vastika Inc</t>
  </si>
  <si>
    <t xml:space="preserve">Senior Java Software Engineer</t>
  </si>
  <si>
    <t xml:space="preserve">Jobcrexa</t>
  </si>
  <si>
    <t xml:space="preserve">Senior Java Backend Engineer (Cloud &amp; Distributed Systems)</t>
  </si>
  <si>
    <t xml:space="preserve">Java 17/21, Spring Boot 3. Confirm location</t>
  </si>
  <si>
    <t xml:space="preserve">Scholastika Knowledge Base</t>
  </si>
  <si>
    <t xml:space="preserve">Small company; confirm location</t>
  </si>
  <si>
    <t xml:space="preserve">GiantMind Solutions</t>
  </si>
  <si>
    <t xml:space="preserve">Sr Java Developer</t>
  </si>
  <si>
    <t xml:space="preserve">Listed as India; confirm location</t>
  </si>
  <si>
    <t xml:space="preserve">InfoBeans</t>
  </si>
  <si>
    <t xml:space="preserve">Cloudesign</t>
  </si>
  <si>
    <t xml:space="preserve">Software Engineer - Java, Spring Boot, Kafka</t>
  </si>
  <si>
    <t xml:space="preserve">Hyderabad / Chennai / Bengaluru</t>
  </si>
  <si>
    <t xml:space="preserve">5-7 yrs</t>
  </si>
  <si>
    <t xml:space="preserve">Good experience match</t>
  </si>
  <si>
    <t xml:space="preserve">Q3 Technologies</t>
  </si>
  <si>
    <t xml:space="preserve">Senior Java Developer (Java 17, Spring Boot)</t>
  </si>
  <si>
    <t xml:space="preserve">Bengaluru / Gurugram</t>
  </si>
  <si>
    <t xml:space="preserve">5-6 yrs</t>
  </si>
  <si>
    <t xml:space="preserve">Exact experience band</t>
  </si>
  <si>
    <t xml:space="preserve">Innova Solutions</t>
  </si>
  <si>
    <t xml:space="preserve">Java Developer (Kafka, Spring Boot)</t>
  </si>
  <si>
    <t xml:space="preserve">Bengaluru</t>
  </si>
  <si>
    <t xml:space="preserve">Stretch on experience</t>
  </si>
  <si>
    <t xml:space="preserve">Blue Yonder</t>
  </si>
  <si>
    <t xml:space="preserve">Lead Software Engineer - Java, Spring Boot, Microservices, Kafka, Azure</t>
  </si>
  <si>
    <t xml:space="preserve">Hyderabad</t>
  </si>
  <si>
    <t xml:space="preserve">Lead level - stretch</t>
  </si>
  <si>
    <t xml:space="preserve">Altezzasys</t>
  </si>
  <si>
    <t xml:space="preserve">Java Backend Developer</t>
  </si>
  <si>
    <t xml:space="preserve">Gurugram</t>
  </si>
  <si>
    <t xml:space="preserve">4-6 yrs</t>
  </si>
  <si>
    <t xml:space="preserve">Job search tracker</t>
  </si>
  <si>
    <t xml:space="preserve">Profile</t>
  </si>
  <si>
    <t xml:space="preserve">Java / Spring Boot backend, ~5 yrs</t>
  </si>
  <si>
    <t xml:space="preserve">Last refreshed</t>
  </si>
  <si>
    <t xml:space="preserve">Freshness rule</t>
  </si>
  <si>
    <t xml:space="preserve">Posted within 7 days of refresh date</t>
  </si>
  <si>
    <t xml:space="preserve">Sort order</t>
  </si>
  <si>
    <t xml:space="preserve">1 Mumbai/Remote, then 2 Verify location, then 3 Other city. Inside each: High fit first, newest first.</t>
  </si>
  <si>
    <t xml:space="preserve">Total jobs</t>
  </si>
  <si>
    <t xml:space="preserve">1 Mumbai/Remote</t>
  </si>
  <si>
    <t xml:space="preserve">2 Verify location</t>
  </si>
  <si>
    <t xml:space="preserve">3 Other city</t>
  </si>
  <si>
    <t xml:space="preserve">High fit</t>
  </si>
  <si>
    <t xml:space="preserve">Medium fit</t>
  </si>
  <si>
    <t xml:space="preserve">Low fit</t>
  </si>
  <si>
    <t xml:space="preserve">Applied</t>
  </si>
  <si>
    <t xml:space="preserve">Interviews</t>
  </si>
  <si>
    <t xml:space="preserve">Excluded (WITCH)</t>
  </si>
  <si>
    <t xml:space="preserve">Wipro, Infosys, TCS, Cognizant, HCL (see Excluded sheet)</t>
  </si>
  <si>
    <t xml:space="preserve">Posted dates are approximate (from 'N days ago' or Naukri job IDs). Priority comes from the Location column, so edit Location and Priority updates (re-sort with the filter arrows). 'Verify' = the search snippet didn't show a city. Confirm each listing is still open before applying.</t>
  </si>
  <si>
    <t xml:space="preserve">Reason</t>
  </si>
  <si>
    <t xml:space="preserve">TCS</t>
  </si>
  <si>
    <t xml:space="preserve">Java Microservices Developer (Navi Mumbai)</t>
  </si>
  <si>
    <t xml:space="preserve">WITCH</t>
  </si>
  <si>
    <t xml:space="preserve">https://in.linkedin.com/jobs/view/java-microservices-developer-at-tata-consultancy-services-4475407702</t>
  </si>
  <si>
    <t xml:space="preserve">Java Microservice Developer (Mumbai)</t>
  </si>
  <si>
    <t xml:space="preserve">https://www.naukri.com/job-listings-java-microservice-developer-tata-consultancy-services-mumbai-all-areas-5-to-10-years-061026018292</t>
  </si>
  <si>
    <t xml:space="preserve">Java Developer - S (Mumbai / Bengaluru)</t>
  </si>
  <si>
    <t xml:space="preserve">https://www.naukri.com/job-listings-java-developer-s-tata-consultancy-services-bengaluru-6-to-10-years-121026004136</t>
  </si>
  <si>
    <t xml:space="preserve">Java Developer (Pune / Chennai / Bengaluru)</t>
  </si>
  <si>
    <t xml:space="preserve">https://www.naukri.com/job-listings-java-developer-tata-consultancy-services-pune-chennai-bengaluru-5-to-8-years-121026001426</t>
  </si>
  <si>
    <t xml:space="preserve">Infosys</t>
  </si>
  <si>
    <t xml:space="preserve">Multiple Java Spring Boot roles (Pune/Hyderabad/Bengaluru)</t>
  </si>
  <si>
    <t xml:space="preserve">https://www.naukri.com/spring-framework-jobs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</si>
</sst>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0"/>
    <numFmt numFmtId="167" formatCode="dd\-mmm\-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weekday.works/jobs/backend-developer-jobs-in-mumbai" TargetMode="External"/><Relationship Id="rId2" Type="http://schemas.openxmlformats.org/officeDocument/2006/relationships/hyperlink" Target="https://in.linkedin.com/jobs/view/java-microservices-engineers-remote-at-hyrezy-tech-solutions-4476253455" TargetMode="External"/><Relationship Id="rId3" Type="http://schemas.openxmlformats.org/officeDocument/2006/relationships/hyperlink" Target="https://in.linkedin.com/jobs/view/software-engineer-ii-agentic-ai-java-aws-springboot-kafka-at-jpmorganchase-4473953787" TargetMode="External"/><Relationship Id="rId4" Type="http://schemas.openxmlformats.org/officeDocument/2006/relationships/hyperlink" Target="https://www.naukri.com/job-listings-soft-engineer-sr-soft-engineer-java-developer-ntt-data-north-america-mumbai-4-to-9-years-081026505901" TargetMode="External"/><Relationship Id="rId5" Type="http://schemas.openxmlformats.org/officeDocument/2006/relationships/hyperlink" Target="https://www.naukri.com/job-listings-java-with-kafka-and-aws-capgemini-mumbai-navi-mumbai-bengaluru-6-to-11-years-121026002418" TargetMode="External"/><Relationship Id="rId6" Type="http://schemas.openxmlformats.org/officeDocument/2006/relationships/hyperlink" Target="https://www.accenture.com/in-en/careers/jobdetails?id=ATCI-5720272-S2068815_en" TargetMode="External"/><Relationship Id="rId7" Type="http://schemas.openxmlformats.org/officeDocument/2006/relationships/hyperlink" Target="https://in.linkedin.com/jobs/view/senior-java-software-engineer-&#8212;-remote-contract-at-mattecurve-technologies-pvt-ltd-4477515441" TargetMode="External"/><Relationship Id="rId8" Type="http://schemas.openxmlformats.org/officeDocument/2006/relationships/hyperlink" Target="https://www.naukri.com/job-listings-java-spring-boot-developer-mumbai-3-to-6-years-111026900406" TargetMode="External"/><Relationship Id="rId9" Type="http://schemas.openxmlformats.org/officeDocument/2006/relationships/hyperlink" Target="https://www.angel-jobs.in/job-details-view/senior-java-developer-backend-engineering-mount-talent-consulting-mumbai-6-years/MjY2NjM=" TargetMode="External"/><Relationship Id="rId10" Type="http://schemas.openxmlformats.org/officeDocument/2006/relationships/hyperlink" Target="https://www.jobleads.com/in/job/java-backend-developer--thane--e81b0f800ffe8a5c9ac79c8eda20e53c2" TargetMode="External"/><Relationship Id="rId11" Type="http://schemas.openxmlformats.org/officeDocument/2006/relationships/hyperlink" Target="https://in.linkedin.com/jobs/view/senior-java-backend-engineer-at-algodomain-4477232180" TargetMode="External"/><Relationship Id="rId12" Type="http://schemas.openxmlformats.org/officeDocument/2006/relationships/hyperlink" Target="https://in.linkedin.com/jobs/view/senior-software-engineer-java-angular-at-nec-software-solutions-india-4477838001" TargetMode="External"/><Relationship Id="rId13" Type="http://schemas.openxmlformats.org/officeDocument/2006/relationships/hyperlink" Target="https://in.linkedin.com/jobs/view/senior-java-node-js-developer-6%2B-years-at-mindbrain-4472397544" TargetMode="External"/><Relationship Id="rId14" Type="http://schemas.openxmlformats.org/officeDocument/2006/relationships/hyperlink" Target="https://in.linkedin.com/jobs/view/java-software-engineer-at-mphasis-4476715143" TargetMode="External"/><Relationship Id="rId15" Type="http://schemas.openxmlformats.org/officeDocument/2006/relationships/hyperlink" Target="https://www.naukri.com/job-listings-java-spring-boot-developer-mumbai-thane-navi-mumbai-2-to-6-years-091026903986" TargetMode="External"/><Relationship Id="rId16" Type="http://schemas.openxmlformats.org/officeDocument/2006/relationships/hyperlink" Target="https://in.linkedin.com/jobs/view/sde-ii-java-backend-issuance-at-nium-4478764479" TargetMode="External"/><Relationship Id="rId17" Type="http://schemas.openxmlformats.org/officeDocument/2006/relationships/hyperlink" Target="https://in.linkedin.com/jobs/view/java-microservices-developer-gcp-at-willware-technologies-4477140590" TargetMode="External"/><Relationship Id="rId18" Type="http://schemas.openxmlformats.org/officeDocument/2006/relationships/hyperlink" Target="https://careers.mastercard.com/us/en/job/R-291599/Senior-Full&#8209;Stack-Engineer-React-Typescript-Node-Java" TargetMode="External"/><Relationship Id="rId19" Type="http://schemas.openxmlformats.org/officeDocument/2006/relationships/hyperlink" Target="https://in.linkedin.com/jobs/view/senior-java-developer-3&#8211;5-years-experience-at-finlabs-india-pvt-ltd-4477279464" TargetMode="External"/><Relationship Id="rId20" Type="http://schemas.openxmlformats.org/officeDocument/2006/relationships/hyperlink" Target="https://in.linkedin.com/jobs/view/senior-java-backend-engineer-at-flexton-inc-4478537970" TargetMode="External"/><Relationship Id="rId21" Type="http://schemas.openxmlformats.org/officeDocument/2006/relationships/hyperlink" Target="https://in.linkedin.com/jobs/view/software-engineer-ii-at-mastercard-4470883849" TargetMode="External"/><Relationship Id="rId22" Type="http://schemas.openxmlformats.org/officeDocument/2006/relationships/hyperlink" Target="https://in.linkedin.com/jobs/view/senior-java-software-engineer-at-vastika-inc-4476292107" TargetMode="External"/><Relationship Id="rId23" Type="http://schemas.openxmlformats.org/officeDocument/2006/relationships/hyperlink" Target="https://in.linkedin.com/jobs/view/senior-java-backend-engineer-cloud-distributes-systems-at-jobcrexa-4472201675" TargetMode="External"/><Relationship Id="rId24" Type="http://schemas.openxmlformats.org/officeDocument/2006/relationships/hyperlink" Target="https://in.linkedin.com/jobs/view/senior-java-software-engineer-at-scholastika-knowledge-base-private-limited-4478103007" TargetMode="External"/><Relationship Id="rId25" Type="http://schemas.openxmlformats.org/officeDocument/2006/relationships/hyperlink" Target="https://in.linkedin.com/jobs/view/sr-java-developer-at-giantmind-solutions-4477963726" TargetMode="External"/><Relationship Id="rId26" Type="http://schemas.openxmlformats.org/officeDocument/2006/relationships/hyperlink" Target="https://in.linkedin.com/jobs/view/senior-java-software-engineer-at-infobeans-4478505135" TargetMode="External"/><Relationship Id="rId27" Type="http://schemas.openxmlformats.org/officeDocument/2006/relationships/hyperlink" Target="https://in.linkedin.com/jobs/view/senior-java-developer-at-cloudesign-4476954847" TargetMode="External"/><Relationship Id="rId28" Type="http://schemas.openxmlformats.org/officeDocument/2006/relationships/hyperlink" Target="https://www.naukri.com/job-listings-software-engineer-ntt-data-inc-hyderabad-chennai-bengaluru-5-to-7-years-101026014961" TargetMode="External"/><Relationship Id="rId29" Type="http://schemas.openxmlformats.org/officeDocument/2006/relationships/hyperlink" Target="https://www.naukri.com/job-listings-senior-java-developer-q3-technologies-bangalore-rural-gurugram-bengaluru-5-to-6-years-101026012988" TargetMode="External"/><Relationship Id="rId30" Type="http://schemas.openxmlformats.org/officeDocument/2006/relationships/hyperlink" Target="https://www.naukri.com/job-listings-java-developer-innova-solutions-bengaluru-6-to-10-years-091026033033" TargetMode="External"/><Relationship Id="rId31" Type="http://schemas.openxmlformats.org/officeDocument/2006/relationships/hyperlink" Target="https://in.linkedin.com/jobs/view/lead-software-engineer-java-spring-boot-microservices-rest-apis-oauth-kafka-azure-at-blue-yonder-4477142872" TargetMode="External"/><Relationship Id="rId32" Type="http://schemas.openxmlformats.org/officeDocument/2006/relationships/hyperlink" Target="https://www.naukri.com/job-listings-java-backend-developer-altezzasys-gurugram-4-to-6-years-071026014602" TargetMode="External"/><Relationship Id="rId3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9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4" min="14" style="0" width="42"/>
    <col collapsed="false" customWidth="true" hidden="false" outlineLevel="0" max="15" min="15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</v>
      </c>
      <c r="B2" s="2" t="str">
        <f aca="false">IF(OR(ISNUMBER(SEARCH("mumbai",E2)),ISNUMBER(SEARCH("thane",E2)),ISNUMBER(SEARCH("remote",E2))),"1 Mumbai/Remote",IF(OR(E2="",E2="Verify"),"2 Verify location","3 Other city"))</f>
        <v>1 Mumbai/Remote</v>
      </c>
      <c r="C2" s="3" t="s">
        <v>15</v>
      </c>
      <c r="D2" s="3" t="s">
        <v>16</v>
      </c>
      <c r="E2" s="3" t="s">
        <v>17</v>
      </c>
      <c r="F2" s="2" t="s">
        <v>18</v>
      </c>
      <c r="G2" s="2" t="s">
        <v>19</v>
      </c>
      <c r="H2" s="4" t="n">
        <v>46305</v>
      </c>
      <c r="I2" s="5" t="n">
        <f aca="true">IF(H2="","",TODAY()-H2)</f>
        <v>4</v>
      </c>
      <c r="J2" s="2" t="s">
        <v>20</v>
      </c>
      <c r="K2" s="2" t="s">
        <v>21</v>
      </c>
      <c r="L2" s="4"/>
      <c r="M2" s="6" t="s">
        <v>22</v>
      </c>
      <c r="N2" s="3" t="s">
        <v>23</v>
      </c>
      <c r="O2" s="4" t="n">
        <v>46309</v>
      </c>
    </row>
    <row r="3" customFormat="false" ht="23.85" hidden="false" customHeight="false" outlineLevel="0" collapsed="false">
      <c r="A3" s="2" t="n">
        <v>2</v>
      </c>
      <c r="B3" s="2" t="str">
        <f aca="false">IF(OR(ISNUMBER(SEARCH("mumbai",E3)),ISNUMBER(SEARCH("thane",E3)),ISNUMBER(SEARCH("remote",E3))),"1 Mumbai/Remote",IF(OR(E3="",E3="Verify"),"2 Verify location","3 Other city"))</f>
        <v>1 Mumbai/Remote</v>
      </c>
      <c r="C3" s="3" t="s">
        <v>24</v>
      </c>
      <c r="D3" s="3" t="s">
        <v>25</v>
      </c>
      <c r="E3" s="3" t="s">
        <v>26</v>
      </c>
      <c r="F3" s="2" t="s">
        <v>27</v>
      </c>
      <c r="G3" s="2" t="s">
        <v>28</v>
      </c>
      <c r="H3" s="4" t="n">
        <v>46304</v>
      </c>
      <c r="I3" s="5" t="n">
        <f aca="true">IF(H3="","",TODAY()-H3)</f>
        <v>5</v>
      </c>
      <c r="J3" s="2" t="s">
        <v>20</v>
      </c>
      <c r="K3" s="2" t="s">
        <v>21</v>
      </c>
      <c r="L3" s="4"/>
      <c r="M3" s="6" t="s">
        <v>22</v>
      </c>
      <c r="N3" s="3" t="s">
        <v>29</v>
      </c>
      <c r="O3" s="4" t="n">
        <v>46309</v>
      </c>
    </row>
    <row r="4" customFormat="false" ht="23.85" hidden="false" customHeight="false" outlineLevel="0" collapsed="false">
      <c r="A4" s="2" t="n">
        <v>3</v>
      </c>
      <c r="B4" s="2" t="str">
        <f aca="false">IF(OR(ISNUMBER(SEARCH("mumbai",E4)),ISNUMBER(SEARCH("thane",E4)),ISNUMBER(SEARCH("remote",E4))),"1 Mumbai/Remote",IF(OR(E4="",E4="Verify"),"2 Verify location","3 Other city"))</f>
        <v>1 Mumbai/Remote</v>
      </c>
      <c r="C4" s="3" t="s">
        <v>30</v>
      </c>
      <c r="D4" s="3" t="s">
        <v>31</v>
      </c>
      <c r="E4" s="3" t="s">
        <v>17</v>
      </c>
      <c r="F4" s="2" t="s">
        <v>32</v>
      </c>
      <c r="G4" s="2" t="s">
        <v>28</v>
      </c>
      <c r="H4" s="4" t="n">
        <v>46303</v>
      </c>
      <c r="I4" s="5" t="n">
        <f aca="true">IF(H4="","",TODAY()-H4)</f>
        <v>6</v>
      </c>
      <c r="J4" s="2" t="s">
        <v>20</v>
      </c>
      <c r="K4" s="2" t="s">
        <v>21</v>
      </c>
      <c r="L4" s="4"/>
      <c r="M4" s="6" t="s">
        <v>22</v>
      </c>
      <c r="N4" s="3" t="s">
        <v>33</v>
      </c>
      <c r="O4" s="4" t="n">
        <v>46309</v>
      </c>
    </row>
    <row r="5" customFormat="false" ht="23.85" hidden="false" customHeight="false" outlineLevel="0" collapsed="false">
      <c r="A5" s="2" t="n">
        <v>4</v>
      </c>
      <c r="B5" s="2" t="str">
        <f aca="false">IF(OR(ISNUMBER(SEARCH("mumbai",E5)),ISNUMBER(SEARCH("thane",E5)),ISNUMBER(SEARCH("remote",E5))),"1 Mumbai/Remote",IF(OR(E5="",E5="Verify"),"2 Verify location","3 Other city"))</f>
        <v>1 Mumbai/Remote</v>
      </c>
      <c r="C5" s="3" t="s">
        <v>34</v>
      </c>
      <c r="D5" s="3" t="s">
        <v>35</v>
      </c>
      <c r="E5" s="3" t="s">
        <v>36</v>
      </c>
      <c r="F5" s="2" t="s">
        <v>27</v>
      </c>
      <c r="G5" s="2" t="s">
        <v>37</v>
      </c>
      <c r="H5" s="4" t="n">
        <v>46303</v>
      </c>
      <c r="I5" s="5" t="n">
        <f aca="true">IF(H5="","",TODAY()-H5)</f>
        <v>6</v>
      </c>
      <c r="J5" s="2" t="s">
        <v>20</v>
      </c>
      <c r="K5" s="2" t="s">
        <v>21</v>
      </c>
      <c r="L5" s="4"/>
      <c r="M5" s="6" t="s">
        <v>22</v>
      </c>
      <c r="N5" s="3" t="s">
        <v>38</v>
      </c>
      <c r="O5" s="4" t="n">
        <v>46309</v>
      </c>
    </row>
    <row r="6" customFormat="false" ht="23.85" hidden="false" customHeight="false" outlineLevel="0" collapsed="false">
      <c r="A6" s="2" t="n">
        <v>5</v>
      </c>
      <c r="B6" s="2" t="str">
        <f aca="false">IF(OR(ISNUMBER(SEARCH("mumbai",E6)),ISNUMBER(SEARCH("thane",E6)),ISNUMBER(SEARCH("remote",E6))),"1 Mumbai/Remote",IF(OR(E6="",E6="Verify"),"2 Verify location","3 Other city"))</f>
        <v>1 Mumbai/Remote</v>
      </c>
      <c r="C6" s="3" t="s">
        <v>39</v>
      </c>
      <c r="D6" s="3" t="s">
        <v>40</v>
      </c>
      <c r="E6" s="3" t="s">
        <v>41</v>
      </c>
      <c r="F6" s="2" t="s">
        <v>42</v>
      </c>
      <c r="G6" s="2" t="s">
        <v>37</v>
      </c>
      <c r="H6" s="4" t="n">
        <v>46307</v>
      </c>
      <c r="I6" s="5" t="n">
        <f aca="true">IF(H6="","",TODAY()-H6)</f>
        <v>2</v>
      </c>
      <c r="J6" s="2" t="s">
        <v>43</v>
      </c>
      <c r="K6" s="2" t="s">
        <v>21</v>
      </c>
      <c r="L6" s="4"/>
      <c r="M6" s="6" t="s">
        <v>22</v>
      </c>
      <c r="N6" s="3" t="s">
        <v>44</v>
      </c>
      <c r="O6" s="4" t="n">
        <v>46309</v>
      </c>
    </row>
    <row r="7" customFormat="false" ht="15" hidden="false" customHeight="false" outlineLevel="0" collapsed="false">
      <c r="A7" s="2" t="n">
        <v>6</v>
      </c>
      <c r="B7" s="2" t="str">
        <f aca="false">IF(OR(ISNUMBER(SEARCH("mumbai",E7)),ISNUMBER(SEARCH("thane",E7)),ISNUMBER(SEARCH("remote",E7))),"1 Mumbai/Remote",IF(OR(E7="",E7="Verify"),"2 Verify location","3 Other city"))</f>
        <v>1 Mumbai/Remote</v>
      </c>
      <c r="C7" s="3" t="s">
        <v>45</v>
      </c>
      <c r="D7" s="3" t="s">
        <v>46</v>
      </c>
      <c r="E7" s="3" t="s">
        <v>17</v>
      </c>
      <c r="F7" s="2" t="s">
        <v>47</v>
      </c>
      <c r="G7" s="2" t="s">
        <v>19</v>
      </c>
      <c r="H7" s="4" t="n">
        <v>46307</v>
      </c>
      <c r="I7" s="5" t="n">
        <f aca="true">IF(H7="","",TODAY()-H7)</f>
        <v>2</v>
      </c>
      <c r="J7" s="2" t="s">
        <v>43</v>
      </c>
      <c r="K7" s="2" t="s">
        <v>21</v>
      </c>
      <c r="L7" s="4"/>
      <c r="M7" s="6" t="s">
        <v>22</v>
      </c>
      <c r="N7" s="3" t="s">
        <v>48</v>
      </c>
      <c r="O7" s="4" t="n">
        <v>46309</v>
      </c>
    </row>
    <row r="8" customFormat="false" ht="15" hidden="false" customHeight="false" outlineLevel="0" collapsed="false">
      <c r="A8" s="2" t="n">
        <v>7</v>
      </c>
      <c r="B8" s="2" t="str">
        <f aca="false">IF(OR(ISNUMBER(SEARCH("mumbai",E8)),ISNUMBER(SEARCH("thane",E8)),ISNUMBER(SEARCH("remote",E8))),"1 Mumbai/Remote",IF(OR(E8="",E8="Verify"),"2 Verify location","3 Other city"))</f>
        <v>1 Mumbai/Remote</v>
      </c>
      <c r="C8" s="3" t="s">
        <v>49</v>
      </c>
      <c r="D8" s="3" t="s">
        <v>50</v>
      </c>
      <c r="E8" s="3" t="s">
        <v>26</v>
      </c>
      <c r="F8" s="2" t="s">
        <v>51</v>
      </c>
      <c r="G8" s="2" t="s">
        <v>28</v>
      </c>
      <c r="H8" s="4" t="n">
        <v>46307</v>
      </c>
      <c r="I8" s="5" t="n">
        <f aca="true">IF(H8="","",TODAY()-H8)</f>
        <v>2</v>
      </c>
      <c r="J8" s="2" t="s">
        <v>43</v>
      </c>
      <c r="K8" s="2" t="s">
        <v>21</v>
      </c>
      <c r="L8" s="4"/>
      <c r="M8" s="6" t="s">
        <v>22</v>
      </c>
      <c r="N8" s="3" t="s">
        <v>52</v>
      </c>
      <c r="O8" s="4" t="n">
        <v>46309</v>
      </c>
    </row>
    <row r="9" customFormat="false" ht="15" hidden="false" customHeight="false" outlineLevel="0" collapsed="false">
      <c r="A9" s="2" t="n">
        <v>8</v>
      </c>
      <c r="B9" s="2" t="str">
        <f aca="false">IF(OR(ISNUMBER(SEARCH("mumbai",E9)),ISNUMBER(SEARCH("thane",E9)),ISNUMBER(SEARCH("remote",E9))),"1 Mumbai/Remote",IF(OR(E9="",E9="Verify"),"2 Verify location","3 Other city"))</f>
        <v>1 Mumbai/Remote</v>
      </c>
      <c r="C9" s="3" t="s">
        <v>53</v>
      </c>
      <c r="D9" s="3" t="s">
        <v>54</v>
      </c>
      <c r="E9" s="3" t="s">
        <v>17</v>
      </c>
      <c r="F9" s="2" t="s">
        <v>55</v>
      </c>
      <c r="G9" s="2" t="s">
        <v>37</v>
      </c>
      <c r="H9" s="4" t="n">
        <v>46306</v>
      </c>
      <c r="I9" s="5" t="n">
        <f aca="true">IF(H9="","",TODAY()-H9)</f>
        <v>3</v>
      </c>
      <c r="J9" s="2" t="s">
        <v>43</v>
      </c>
      <c r="K9" s="2" t="s">
        <v>21</v>
      </c>
      <c r="L9" s="4"/>
      <c r="M9" s="6" t="s">
        <v>22</v>
      </c>
      <c r="N9" s="3" t="s">
        <v>56</v>
      </c>
      <c r="O9" s="4" t="n">
        <v>46309</v>
      </c>
    </row>
    <row r="10" customFormat="false" ht="15" hidden="false" customHeight="false" outlineLevel="0" collapsed="false">
      <c r="A10" s="2" t="n">
        <v>9</v>
      </c>
      <c r="B10" s="2" t="str">
        <f aca="false">IF(OR(ISNUMBER(SEARCH("mumbai",E10)),ISNUMBER(SEARCH("thane",E10)),ISNUMBER(SEARCH("remote",E10))),"1 Mumbai/Remote",IF(OR(E10="",E10="Verify"),"2 Verify location","3 Other city"))</f>
        <v>1 Mumbai/Remote</v>
      </c>
      <c r="C10" s="3" t="s">
        <v>57</v>
      </c>
      <c r="D10" s="3" t="s">
        <v>58</v>
      </c>
      <c r="E10" s="3" t="s">
        <v>17</v>
      </c>
      <c r="F10" s="2" t="s">
        <v>47</v>
      </c>
      <c r="G10" s="2" t="s">
        <v>19</v>
      </c>
      <c r="H10" s="4" t="n">
        <v>46306</v>
      </c>
      <c r="I10" s="5" t="n">
        <f aca="true">IF(H10="","",TODAY()-H10)</f>
        <v>3</v>
      </c>
      <c r="J10" s="2" t="s">
        <v>43</v>
      </c>
      <c r="K10" s="2" t="s">
        <v>21</v>
      </c>
      <c r="L10" s="4"/>
      <c r="M10" s="6" t="s">
        <v>22</v>
      </c>
      <c r="N10" s="3" t="s">
        <v>59</v>
      </c>
      <c r="O10" s="4" t="n">
        <v>46309</v>
      </c>
    </row>
    <row r="11" customFormat="false" ht="15" hidden="false" customHeight="false" outlineLevel="0" collapsed="false">
      <c r="A11" s="2" t="n">
        <v>10</v>
      </c>
      <c r="B11" s="2" t="str">
        <f aca="false">IF(OR(ISNUMBER(SEARCH("mumbai",E11)),ISNUMBER(SEARCH("thane",E11)),ISNUMBER(SEARCH("remote",E11))),"1 Mumbai/Remote",IF(OR(E11="",E11="Verify"),"2 Verify location","3 Other city"))</f>
        <v>1 Mumbai/Remote</v>
      </c>
      <c r="C11" s="3" t="s">
        <v>60</v>
      </c>
      <c r="D11" s="3" t="s">
        <v>61</v>
      </c>
      <c r="E11" s="3" t="s">
        <v>62</v>
      </c>
      <c r="F11" s="2" t="s">
        <v>47</v>
      </c>
      <c r="G11" s="2" t="s">
        <v>19</v>
      </c>
      <c r="H11" s="4" t="n">
        <v>46305</v>
      </c>
      <c r="I11" s="5" t="n">
        <f aca="true">IF(H11="","",TODAY()-H11)</f>
        <v>4</v>
      </c>
      <c r="J11" s="2" t="s">
        <v>43</v>
      </c>
      <c r="K11" s="2" t="s">
        <v>21</v>
      </c>
      <c r="L11" s="4"/>
      <c r="M11" s="6" t="s">
        <v>22</v>
      </c>
      <c r="N11" s="3" t="s">
        <v>59</v>
      </c>
      <c r="O11" s="4" t="n">
        <v>46309</v>
      </c>
    </row>
    <row r="12" customFormat="false" ht="23.85" hidden="false" customHeight="false" outlineLevel="0" collapsed="false">
      <c r="A12" s="2" t="n">
        <v>11</v>
      </c>
      <c r="B12" s="2" t="str">
        <f aca="false">IF(OR(ISNUMBER(SEARCH("mumbai",E12)),ISNUMBER(SEARCH("thane",E12)),ISNUMBER(SEARCH("remote",E12))),"1 Mumbai/Remote",IF(OR(E12="",E12="Verify"),"2 Verify location","3 Other city"))</f>
        <v>1 Mumbai/Remote</v>
      </c>
      <c r="C12" s="3" t="s">
        <v>63</v>
      </c>
      <c r="D12" s="3" t="s">
        <v>64</v>
      </c>
      <c r="E12" s="3" t="s">
        <v>26</v>
      </c>
      <c r="F12" s="2" t="s">
        <v>47</v>
      </c>
      <c r="G12" s="2" t="s">
        <v>28</v>
      </c>
      <c r="H12" s="4" t="n">
        <v>46305</v>
      </c>
      <c r="I12" s="5" t="n">
        <f aca="true">IF(H12="","",TODAY()-H12)</f>
        <v>4</v>
      </c>
      <c r="J12" s="2" t="s">
        <v>43</v>
      </c>
      <c r="K12" s="2" t="s">
        <v>21</v>
      </c>
      <c r="L12" s="4"/>
      <c r="M12" s="6" t="s">
        <v>22</v>
      </c>
      <c r="N12" s="3" t="s">
        <v>65</v>
      </c>
      <c r="O12" s="4" t="n">
        <v>46309</v>
      </c>
    </row>
    <row r="13" customFormat="false" ht="15" hidden="false" customHeight="false" outlineLevel="0" collapsed="false">
      <c r="A13" s="2" t="n">
        <v>12</v>
      </c>
      <c r="B13" s="2" t="str">
        <f aca="false">IF(OR(ISNUMBER(SEARCH("mumbai",E13)),ISNUMBER(SEARCH("thane",E13)),ISNUMBER(SEARCH("remote",E13))),"1 Mumbai/Remote",IF(OR(E13="",E13="Verify"),"2 Verify location","3 Other city"))</f>
        <v>1 Mumbai/Remote</v>
      </c>
      <c r="C13" s="3" t="s">
        <v>66</v>
      </c>
      <c r="D13" s="3" t="s">
        <v>67</v>
      </c>
      <c r="E13" s="3" t="s">
        <v>17</v>
      </c>
      <c r="F13" s="2" t="s">
        <v>68</v>
      </c>
      <c r="G13" s="2" t="s">
        <v>28</v>
      </c>
      <c r="H13" s="4" t="n">
        <v>46304</v>
      </c>
      <c r="I13" s="5" t="n">
        <f aca="true">IF(H13="","",TODAY()-H13)</f>
        <v>5</v>
      </c>
      <c r="J13" s="2" t="s">
        <v>43</v>
      </c>
      <c r="K13" s="2" t="s">
        <v>21</v>
      </c>
      <c r="L13" s="4"/>
      <c r="M13" s="6" t="s">
        <v>22</v>
      </c>
      <c r="N13" s="3" t="s">
        <v>69</v>
      </c>
      <c r="O13" s="4" t="n">
        <v>46309</v>
      </c>
    </row>
    <row r="14" customFormat="false" ht="15" hidden="false" customHeight="false" outlineLevel="0" collapsed="false">
      <c r="A14" s="2" t="n">
        <v>13</v>
      </c>
      <c r="B14" s="2" t="str">
        <f aca="false">IF(OR(ISNUMBER(SEARCH("mumbai",E14)),ISNUMBER(SEARCH("thane",E14)),ISNUMBER(SEARCH("remote",E14))),"1 Mumbai/Remote",IF(OR(E14="",E14="Verify"),"2 Verify location","3 Other city"))</f>
        <v>1 Mumbai/Remote</v>
      </c>
      <c r="C14" s="3" t="s">
        <v>70</v>
      </c>
      <c r="D14" s="3" t="s">
        <v>71</v>
      </c>
      <c r="E14" s="3" t="s">
        <v>26</v>
      </c>
      <c r="F14" s="2" t="s">
        <v>72</v>
      </c>
      <c r="G14" s="2" t="s">
        <v>28</v>
      </c>
      <c r="H14" s="4" t="n">
        <v>46303</v>
      </c>
      <c r="I14" s="5" t="n">
        <f aca="true">IF(H14="","",TODAY()-H14)</f>
        <v>6</v>
      </c>
      <c r="J14" s="2" t="s">
        <v>43</v>
      </c>
      <c r="K14" s="2" t="s">
        <v>21</v>
      </c>
      <c r="L14" s="4"/>
      <c r="M14" s="6" t="s">
        <v>22</v>
      </c>
      <c r="N14" s="3" t="s">
        <v>73</v>
      </c>
      <c r="O14" s="4" t="n">
        <v>46309</v>
      </c>
    </row>
    <row r="15" customFormat="false" ht="15" hidden="false" customHeight="false" outlineLevel="0" collapsed="false">
      <c r="A15" s="2" t="n">
        <v>14</v>
      </c>
      <c r="B15" s="2" t="str">
        <f aca="false">IF(OR(ISNUMBER(SEARCH("mumbai",E15)),ISNUMBER(SEARCH("thane",E15)),ISNUMBER(SEARCH("remote",E15))),"1 Mumbai/Remote",IF(OR(E15="",E15="Verify"),"2 Verify location","3 Other city"))</f>
        <v>1 Mumbai/Remote</v>
      </c>
      <c r="C15" s="3" t="s">
        <v>74</v>
      </c>
      <c r="D15" s="3" t="s">
        <v>75</v>
      </c>
      <c r="E15" s="3" t="s">
        <v>17</v>
      </c>
      <c r="F15" s="2" t="s">
        <v>32</v>
      </c>
      <c r="G15" s="2" t="s">
        <v>28</v>
      </c>
      <c r="H15" s="4" t="n">
        <v>46302</v>
      </c>
      <c r="I15" s="5" t="n">
        <f aca="true">IF(H15="","",TODAY()-H15)</f>
        <v>7</v>
      </c>
      <c r="J15" s="2" t="s">
        <v>43</v>
      </c>
      <c r="K15" s="2" t="s">
        <v>21</v>
      </c>
      <c r="L15" s="4"/>
      <c r="M15" s="6" t="s">
        <v>22</v>
      </c>
      <c r="N15" s="3" t="s">
        <v>76</v>
      </c>
      <c r="O15" s="4" t="n">
        <v>46309</v>
      </c>
    </row>
    <row r="16" customFormat="false" ht="15" hidden="false" customHeight="false" outlineLevel="0" collapsed="false">
      <c r="A16" s="2" t="n">
        <v>15</v>
      </c>
      <c r="B16" s="2" t="str">
        <f aca="false">IF(OR(ISNUMBER(SEARCH("mumbai",E16)),ISNUMBER(SEARCH("thane",E16)),ISNUMBER(SEARCH("remote",E16))),"1 Mumbai/Remote",IF(OR(E16="",E16="Verify"),"2 Verify location","3 Other city"))</f>
        <v>1 Mumbai/Remote</v>
      </c>
      <c r="C16" s="3" t="s">
        <v>53</v>
      </c>
      <c r="D16" s="3" t="s">
        <v>54</v>
      </c>
      <c r="E16" s="3" t="s">
        <v>36</v>
      </c>
      <c r="F16" s="2" t="s">
        <v>77</v>
      </c>
      <c r="G16" s="2" t="s">
        <v>37</v>
      </c>
      <c r="H16" s="4" t="n">
        <v>46304</v>
      </c>
      <c r="I16" s="5" t="n">
        <f aca="true">IF(H16="","",TODAY()-H16)</f>
        <v>5</v>
      </c>
      <c r="J16" s="2" t="s">
        <v>78</v>
      </c>
      <c r="K16" s="2" t="s">
        <v>21</v>
      </c>
      <c r="L16" s="4"/>
      <c r="M16" s="6" t="s">
        <v>22</v>
      </c>
      <c r="N16" s="3" t="s">
        <v>79</v>
      </c>
      <c r="O16" s="4" t="n">
        <v>46309</v>
      </c>
    </row>
    <row r="17" customFormat="false" ht="15" hidden="false" customHeight="false" outlineLevel="0" collapsed="false">
      <c r="A17" s="2" t="n">
        <v>16</v>
      </c>
      <c r="B17" s="2" t="str">
        <f aca="false">IF(OR(ISNUMBER(SEARCH("mumbai",E17)),ISNUMBER(SEARCH("thane",E17)),ISNUMBER(SEARCH("remote",E17))),"1 Mumbai/Remote",IF(OR(E17="",E17="Verify"),"2 Verify location","3 Other city"))</f>
        <v>2 Verify location</v>
      </c>
      <c r="C17" s="3" t="s">
        <v>80</v>
      </c>
      <c r="D17" s="3" t="s">
        <v>81</v>
      </c>
      <c r="E17" s="3" t="s">
        <v>82</v>
      </c>
      <c r="F17" s="2" t="s">
        <v>32</v>
      </c>
      <c r="G17" s="2" t="s">
        <v>28</v>
      </c>
      <c r="H17" s="4" t="n">
        <v>46308</v>
      </c>
      <c r="I17" s="5" t="n">
        <f aca="true">IF(H17="","",TODAY()-H17)</f>
        <v>1</v>
      </c>
      <c r="J17" s="2" t="s">
        <v>20</v>
      </c>
      <c r="K17" s="2" t="s">
        <v>21</v>
      </c>
      <c r="L17" s="4"/>
      <c r="M17" s="6" t="s">
        <v>22</v>
      </c>
      <c r="N17" s="3" t="s">
        <v>83</v>
      </c>
      <c r="O17" s="4" t="n">
        <v>46309</v>
      </c>
    </row>
    <row r="18" customFormat="false" ht="15" hidden="false" customHeight="false" outlineLevel="0" collapsed="false">
      <c r="A18" s="2" t="n">
        <v>17</v>
      </c>
      <c r="B18" s="2" t="str">
        <f aca="false">IF(OR(ISNUMBER(SEARCH("mumbai",E18)),ISNUMBER(SEARCH("thane",E18)),ISNUMBER(SEARCH("remote",E18))),"1 Mumbai/Remote",IF(OR(E18="",E18="Verify"),"2 Verify location","3 Other city"))</f>
        <v>2 Verify location</v>
      </c>
      <c r="C18" s="3" t="s">
        <v>84</v>
      </c>
      <c r="D18" s="3" t="s">
        <v>85</v>
      </c>
      <c r="E18" s="3" t="s">
        <v>82</v>
      </c>
      <c r="F18" s="2" t="s">
        <v>32</v>
      </c>
      <c r="G18" s="2" t="s">
        <v>28</v>
      </c>
      <c r="H18" s="4" t="n">
        <v>46303</v>
      </c>
      <c r="I18" s="5" t="n">
        <f aca="true">IF(H18="","",TODAY()-H18)</f>
        <v>6</v>
      </c>
      <c r="J18" s="2" t="s">
        <v>20</v>
      </c>
      <c r="K18" s="2" t="s">
        <v>21</v>
      </c>
      <c r="L18" s="4"/>
      <c r="M18" s="6" t="s">
        <v>22</v>
      </c>
      <c r="N18" s="3" t="s">
        <v>86</v>
      </c>
      <c r="O18" s="4" t="n">
        <v>46309</v>
      </c>
    </row>
    <row r="19" customFormat="false" ht="23.85" hidden="false" customHeight="false" outlineLevel="0" collapsed="false">
      <c r="A19" s="2" t="n">
        <v>18</v>
      </c>
      <c r="B19" s="2" t="str">
        <f aca="false">IF(OR(ISNUMBER(SEARCH("mumbai",E19)),ISNUMBER(SEARCH("thane",E19)),ISNUMBER(SEARCH("remote",E19))),"1 Mumbai/Remote",IF(OR(E19="",E19="Verify"),"2 Verify location","3 Other city"))</f>
        <v>2 Verify location</v>
      </c>
      <c r="C19" s="3" t="s">
        <v>87</v>
      </c>
      <c r="D19" s="3" t="s">
        <v>88</v>
      </c>
      <c r="E19" s="3" t="s">
        <v>82</v>
      </c>
      <c r="F19" s="2" t="s">
        <v>47</v>
      </c>
      <c r="G19" s="2" t="s">
        <v>19</v>
      </c>
      <c r="H19" s="4" t="n">
        <v>46307</v>
      </c>
      <c r="I19" s="5" t="n">
        <f aca="true">IF(H19="","",TODAY()-H19)</f>
        <v>2</v>
      </c>
      <c r="J19" s="2" t="s">
        <v>43</v>
      </c>
      <c r="K19" s="2" t="s">
        <v>21</v>
      </c>
      <c r="L19" s="4"/>
      <c r="M19" s="6" t="s">
        <v>22</v>
      </c>
      <c r="N19" s="3" t="s">
        <v>89</v>
      </c>
      <c r="O19" s="4" t="n">
        <v>46309</v>
      </c>
    </row>
    <row r="20" customFormat="false" ht="15" hidden="false" customHeight="false" outlineLevel="0" collapsed="false">
      <c r="A20" s="2" t="n">
        <v>19</v>
      </c>
      <c r="B20" s="2" t="str">
        <f aca="false">IF(OR(ISNUMBER(SEARCH("mumbai",E20)),ISNUMBER(SEARCH("thane",E20)),ISNUMBER(SEARCH("remote",E20))),"1 Mumbai/Remote",IF(OR(E20="",E20="Verify"),"2 Verify location","3 Other city"))</f>
        <v>2 Verify location</v>
      </c>
      <c r="C20" s="3" t="s">
        <v>90</v>
      </c>
      <c r="D20" s="3" t="s">
        <v>16</v>
      </c>
      <c r="E20" s="3" t="s">
        <v>82</v>
      </c>
      <c r="F20" s="2" t="s">
        <v>91</v>
      </c>
      <c r="G20" s="2" t="s">
        <v>28</v>
      </c>
      <c r="H20" s="4" t="n">
        <v>46307</v>
      </c>
      <c r="I20" s="5" t="n">
        <f aca="true">IF(H20="","",TODAY()-H20)</f>
        <v>2</v>
      </c>
      <c r="J20" s="2" t="s">
        <v>43</v>
      </c>
      <c r="K20" s="2" t="s">
        <v>21</v>
      </c>
      <c r="L20" s="4"/>
      <c r="M20" s="6" t="s">
        <v>22</v>
      </c>
      <c r="N20" s="3" t="s">
        <v>92</v>
      </c>
      <c r="O20" s="4" t="n">
        <v>46309</v>
      </c>
    </row>
    <row r="21" customFormat="false" ht="15" hidden="false" customHeight="false" outlineLevel="0" collapsed="false">
      <c r="A21" s="2" t="n">
        <v>20</v>
      </c>
      <c r="B21" s="2" t="str">
        <f aca="false">IF(OR(ISNUMBER(SEARCH("mumbai",E21)),ISNUMBER(SEARCH("thane",E21)),ISNUMBER(SEARCH("remote",E21))),"1 Mumbai/Remote",IF(OR(E21="",E21="Verify"),"2 Verify location","3 Other city"))</f>
        <v>2 Verify location</v>
      </c>
      <c r="C21" s="3" t="s">
        <v>93</v>
      </c>
      <c r="D21" s="3" t="s">
        <v>94</v>
      </c>
      <c r="E21" s="3" t="s">
        <v>82</v>
      </c>
      <c r="F21" s="2" t="s">
        <v>32</v>
      </c>
      <c r="G21" s="2" t="s">
        <v>28</v>
      </c>
      <c r="H21" s="4" t="n">
        <v>46307</v>
      </c>
      <c r="I21" s="5" t="n">
        <f aca="true">IF(H21="","",TODAY()-H21)</f>
        <v>2</v>
      </c>
      <c r="J21" s="2" t="s">
        <v>43</v>
      </c>
      <c r="K21" s="2" t="s">
        <v>21</v>
      </c>
      <c r="L21" s="4"/>
      <c r="M21" s="6" t="s">
        <v>22</v>
      </c>
      <c r="N21" s="3" t="s">
        <v>95</v>
      </c>
      <c r="O21" s="4" t="n">
        <v>46309</v>
      </c>
    </row>
    <row r="22" customFormat="false" ht="15" hidden="false" customHeight="false" outlineLevel="0" collapsed="false">
      <c r="A22" s="2" t="n">
        <v>21</v>
      </c>
      <c r="B22" s="2" t="str">
        <f aca="false">IF(OR(ISNUMBER(SEARCH("mumbai",E22)),ISNUMBER(SEARCH("thane",E22)),ISNUMBER(SEARCH("remote",E22))),"1 Mumbai/Remote",IF(OR(E22="",E22="Verify"),"2 Verify location","3 Other city"))</f>
        <v>2 Verify location</v>
      </c>
      <c r="C22" s="3" t="s">
        <v>87</v>
      </c>
      <c r="D22" s="3" t="s">
        <v>96</v>
      </c>
      <c r="E22" s="3" t="s">
        <v>82</v>
      </c>
      <c r="F22" s="2" t="s">
        <v>32</v>
      </c>
      <c r="G22" s="2" t="s">
        <v>28</v>
      </c>
      <c r="H22" s="4" t="n">
        <v>46304</v>
      </c>
      <c r="I22" s="5" t="n">
        <f aca="true">IF(H22="","",TODAY()-H22)</f>
        <v>5</v>
      </c>
      <c r="J22" s="2" t="s">
        <v>43</v>
      </c>
      <c r="K22" s="2" t="s">
        <v>21</v>
      </c>
      <c r="L22" s="4"/>
      <c r="M22" s="6" t="s">
        <v>22</v>
      </c>
      <c r="N22" s="3" t="s">
        <v>97</v>
      </c>
      <c r="O22" s="4" t="n">
        <v>46309</v>
      </c>
    </row>
    <row r="23" customFormat="false" ht="15" hidden="false" customHeight="false" outlineLevel="0" collapsed="false">
      <c r="A23" s="2" t="n">
        <v>22</v>
      </c>
      <c r="B23" s="2" t="str">
        <f aca="false">IF(OR(ISNUMBER(SEARCH("mumbai",E23)),ISNUMBER(SEARCH("thane",E23)),ISNUMBER(SEARCH("remote",E23))),"1 Mumbai/Remote",IF(OR(E23="",E23="Verify"),"2 Verify location","3 Other city"))</f>
        <v>2 Verify location</v>
      </c>
      <c r="C23" s="3" t="s">
        <v>98</v>
      </c>
      <c r="D23" s="3" t="s">
        <v>99</v>
      </c>
      <c r="E23" s="3" t="s">
        <v>82</v>
      </c>
      <c r="F23" s="2" t="s">
        <v>32</v>
      </c>
      <c r="G23" s="2" t="s">
        <v>28</v>
      </c>
      <c r="H23" s="4" t="n">
        <v>46304</v>
      </c>
      <c r="I23" s="5" t="n">
        <f aca="true">IF(H23="","",TODAY()-H23)</f>
        <v>5</v>
      </c>
      <c r="J23" s="2" t="s">
        <v>43</v>
      </c>
      <c r="K23" s="2" t="s">
        <v>21</v>
      </c>
      <c r="L23" s="4"/>
      <c r="M23" s="6" t="s">
        <v>22</v>
      </c>
      <c r="N23" s="3" t="s">
        <v>92</v>
      </c>
      <c r="O23" s="4" t="n">
        <v>46309</v>
      </c>
    </row>
    <row r="24" customFormat="false" ht="23.85" hidden="false" customHeight="false" outlineLevel="0" collapsed="false">
      <c r="A24" s="2" t="n">
        <v>23</v>
      </c>
      <c r="B24" s="2" t="str">
        <f aca="false">IF(OR(ISNUMBER(SEARCH("mumbai",E24)),ISNUMBER(SEARCH("thane",E24)),ISNUMBER(SEARCH("remote",E24))),"1 Mumbai/Remote",IF(OR(E24="",E24="Verify"),"2 Verify location","3 Other city"))</f>
        <v>2 Verify location</v>
      </c>
      <c r="C24" s="3" t="s">
        <v>100</v>
      </c>
      <c r="D24" s="3" t="s">
        <v>101</v>
      </c>
      <c r="E24" s="3" t="s">
        <v>82</v>
      </c>
      <c r="F24" s="2" t="s">
        <v>47</v>
      </c>
      <c r="G24" s="2" t="s">
        <v>28</v>
      </c>
      <c r="H24" s="4" t="n">
        <v>46303</v>
      </c>
      <c r="I24" s="5" t="n">
        <f aca="true">IF(H24="","",TODAY()-H24)</f>
        <v>6</v>
      </c>
      <c r="J24" s="2" t="s">
        <v>43</v>
      </c>
      <c r="K24" s="2" t="s">
        <v>21</v>
      </c>
      <c r="L24" s="4"/>
      <c r="M24" s="6" t="s">
        <v>22</v>
      </c>
      <c r="N24" s="3" t="s">
        <v>102</v>
      </c>
      <c r="O24" s="4" t="n">
        <v>46309</v>
      </c>
    </row>
    <row r="25" customFormat="false" ht="15" hidden="false" customHeight="false" outlineLevel="0" collapsed="false">
      <c r="A25" s="2" t="n">
        <v>24</v>
      </c>
      <c r="B25" s="2" t="str">
        <f aca="false">IF(OR(ISNUMBER(SEARCH("mumbai",E25)),ISNUMBER(SEARCH("thane",E25)),ISNUMBER(SEARCH("remote",E25))),"1 Mumbai/Remote",IF(OR(E25="",E25="Verify"),"2 Verify location","3 Other city"))</f>
        <v>2 Verify location</v>
      </c>
      <c r="C25" s="3" t="s">
        <v>103</v>
      </c>
      <c r="D25" s="3" t="s">
        <v>99</v>
      </c>
      <c r="E25" s="3" t="s">
        <v>82</v>
      </c>
      <c r="F25" s="2" t="s">
        <v>32</v>
      </c>
      <c r="G25" s="2" t="s">
        <v>28</v>
      </c>
      <c r="H25" s="4" t="n">
        <v>46308</v>
      </c>
      <c r="I25" s="5" t="n">
        <f aca="true">IF(H25="","",TODAY()-H25)</f>
        <v>1</v>
      </c>
      <c r="J25" s="2" t="s">
        <v>78</v>
      </c>
      <c r="K25" s="2" t="s">
        <v>21</v>
      </c>
      <c r="L25" s="4"/>
      <c r="M25" s="6" t="s">
        <v>22</v>
      </c>
      <c r="N25" s="3" t="s">
        <v>104</v>
      </c>
      <c r="O25" s="4" t="n">
        <v>46309</v>
      </c>
    </row>
    <row r="26" customFormat="false" ht="15" hidden="false" customHeight="false" outlineLevel="0" collapsed="false">
      <c r="A26" s="2" t="n">
        <v>25</v>
      </c>
      <c r="B26" s="2" t="str">
        <f aca="false">IF(OR(ISNUMBER(SEARCH("mumbai",E26)),ISNUMBER(SEARCH("thane",E26)),ISNUMBER(SEARCH("remote",E26))),"1 Mumbai/Remote",IF(OR(E26="",E26="Verify"),"2 Verify location","3 Other city"))</f>
        <v>2 Verify location</v>
      </c>
      <c r="C26" s="3" t="s">
        <v>105</v>
      </c>
      <c r="D26" s="3" t="s">
        <v>106</v>
      </c>
      <c r="E26" s="3" t="s">
        <v>82</v>
      </c>
      <c r="F26" s="2" t="s">
        <v>32</v>
      </c>
      <c r="G26" s="2" t="s">
        <v>28</v>
      </c>
      <c r="H26" s="4" t="n">
        <v>46308</v>
      </c>
      <c r="I26" s="5" t="n">
        <f aca="true">IF(H26="","",TODAY()-H26)</f>
        <v>1</v>
      </c>
      <c r="J26" s="2" t="s">
        <v>78</v>
      </c>
      <c r="K26" s="2" t="s">
        <v>21</v>
      </c>
      <c r="L26" s="4"/>
      <c r="M26" s="6" t="s">
        <v>22</v>
      </c>
      <c r="N26" s="3" t="s">
        <v>107</v>
      </c>
      <c r="O26" s="4" t="n">
        <v>46309</v>
      </c>
    </row>
    <row r="27" customFormat="false" ht="15" hidden="false" customHeight="false" outlineLevel="0" collapsed="false">
      <c r="A27" s="2" t="n">
        <v>26</v>
      </c>
      <c r="B27" s="2" t="str">
        <f aca="false">IF(OR(ISNUMBER(SEARCH("mumbai",E27)),ISNUMBER(SEARCH("thane",E27)),ISNUMBER(SEARCH("remote",E27))),"1 Mumbai/Remote",IF(OR(E27="",E27="Verify"),"2 Verify location","3 Other city"))</f>
        <v>2 Verify location</v>
      </c>
      <c r="C27" s="3" t="s">
        <v>108</v>
      </c>
      <c r="D27" s="3" t="s">
        <v>99</v>
      </c>
      <c r="E27" s="3" t="s">
        <v>82</v>
      </c>
      <c r="F27" s="2" t="s">
        <v>32</v>
      </c>
      <c r="G27" s="2" t="s">
        <v>28</v>
      </c>
      <c r="H27" s="4" t="n">
        <v>46307</v>
      </c>
      <c r="I27" s="5" t="n">
        <f aca="true">IF(H27="","",TODAY()-H27)</f>
        <v>2</v>
      </c>
      <c r="J27" s="2" t="s">
        <v>78</v>
      </c>
      <c r="K27" s="2" t="s">
        <v>21</v>
      </c>
      <c r="L27" s="4"/>
      <c r="M27" s="6" t="s">
        <v>22</v>
      </c>
      <c r="N27" s="3" t="s">
        <v>92</v>
      </c>
      <c r="O27" s="4" t="n">
        <v>46309</v>
      </c>
    </row>
    <row r="28" customFormat="false" ht="15" hidden="false" customHeight="false" outlineLevel="0" collapsed="false">
      <c r="A28" s="2" t="n">
        <v>27</v>
      </c>
      <c r="B28" s="2" t="str">
        <f aca="false">IF(OR(ISNUMBER(SEARCH("mumbai",E28)),ISNUMBER(SEARCH("thane",E28)),ISNUMBER(SEARCH("remote",E28))),"1 Mumbai/Remote",IF(OR(E28="",E28="Verify"),"2 Verify location","3 Other city"))</f>
        <v>2 Verify location</v>
      </c>
      <c r="C28" s="3" t="s">
        <v>109</v>
      </c>
      <c r="D28" s="3" t="s">
        <v>16</v>
      </c>
      <c r="E28" s="3" t="s">
        <v>82</v>
      </c>
      <c r="F28" s="2" t="s">
        <v>32</v>
      </c>
      <c r="G28" s="2" t="s">
        <v>28</v>
      </c>
      <c r="H28" s="4" t="n">
        <v>46303</v>
      </c>
      <c r="I28" s="5" t="n">
        <f aca="true">IF(H28="","",TODAY()-H28)</f>
        <v>6</v>
      </c>
      <c r="J28" s="2" t="s">
        <v>78</v>
      </c>
      <c r="K28" s="2" t="s">
        <v>21</v>
      </c>
      <c r="L28" s="4"/>
      <c r="M28" s="6" t="s">
        <v>22</v>
      </c>
      <c r="N28" s="3" t="s">
        <v>92</v>
      </c>
      <c r="O28" s="4" t="n">
        <v>46309</v>
      </c>
    </row>
    <row r="29" customFormat="false" ht="23.85" hidden="false" customHeight="false" outlineLevel="0" collapsed="false">
      <c r="A29" s="2" t="n">
        <v>28</v>
      </c>
      <c r="B29" s="2" t="str">
        <f aca="false">IF(OR(ISNUMBER(SEARCH("mumbai",E29)),ISNUMBER(SEARCH("thane",E29)),ISNUMBER(SEARCH("remote",E29))),"1 Mumbai/Remote",IF(OR(E29="",E29="Verify"),"2 Verify location","3 Other city"))</f>
        <v>3 Other city</v>
      </c>
      <c r="C29" s="3" t="s">
        <v>34</v>
      </c>
      <c r="D29" s="3" t="s">
        <v>110</v>
      </c>
      <c r="E29" s="3" t="s">
        <v>111</v>
      </c>
      <c r="F29" s="2" t="s">
        <v>112</v>
      </c>
      <c r="G29" s="2" t="s">
        <v>37</v>
      </c>
      <c r="H29" s="4" t="n">
        <v>46305</v>
      </c>
      <c r="I29" s="5" t="n">
        <f aca="true">IF(H29="","",TODAY()-H29)</f>
        <v>4</v>
      </c>
      <c r="J29" s="2" t="s">
        <v>20</v>
      </c>
      <c r="K29" s="2" t="s">
        <v>21</v>
      </c>
      <c r="L29" s="4"/>
      <c r="M29" s="6" t="s">
        <v>22</v>
      </c>
      <c r="N29" s="3" t="s">
        <v>113</v>
      </c>
      <c r="O29" s="4" t="n">
        <v>46309</v>
      </c>
    </row>
    <row r="30" customFormat="false" ht="15" hidden="false" customHeight="false" outlineLevel="0" collapsed="false">
      <c r="A30" s="2" t="n">
        <v>29</v>
      </c>
      <c r="B30" s="2" t="str">
        <f aca="false">IF(OR(ISNUMBER(SEARCH("mumbai",E30)),ISNUMBER(SEARCH("thane",E30)),ISNUMBER(SEARCH("remote",E30))),"1 Mumbai/Remote",IF(OR(E30="",E30="Verify"),"2 Verify location","3 Other city"))</f>
        <v>3 Other city</v>
      </c>
      <c r="C30" s="3" t="s">
        <v>114</v>
      </c>
      <c r="D30" s="3" t="s">
        <v>115</v>
      </c>
      <c r="E30" s="3" t="s">
        <v>116</v>
      </c>
      <c r="F30" s="2" t="s">
        <v>117</v>
      </c>
      <c r="G30" s="2" t="s">
        <v>37</v>
      </c>
      <c r="H30" s="4" t="n">
        <v>46305</v>
      </c>
      <c r="I30" s="5" t="n">
        <f aca="true">IF(H30="","",TODAY()-H30)</f>
        <v>4</v>
      </c>
      <c r="J30" s="2" t="s">
        <v>20</v>
      </c>
      <c r="K30" s="2" t="s">
        <v>21</v>
      </c>
      <c r="L30" s="4"/>
      <c r="M30" s="6" t="s">
        <v>22</v>
      </c>
      <c r="N30" s="3" t="s">
        <v>118</v>
      </c>
      <c r="O30" s="4" t="n">
        <v>46309</v>
      </c>
    </row>
    <row r="31" customFormat="false" ht="15" hidden="false" customHeight="false" outlineLevel="0" collapsed="false">
      <c r="A31" s="2" t="n">
        <v>30</v>
      </c>
      <c r="B31" s="2" t="str">
        <f aca="false">IF(OR(ISNUMBER(SEARCH("mumbai",E31)),ISNUMBER(SEARCH("thane",E31)),ISNUMBER(SEARCH("remote",E31))),"1 Mumbai/Remote",IF(OR(E31="",E31="Verify"),"2 Verify location","3 Other city"))</f>
        <v>3 Other city</v>
      </c>
      <c r="C31" s="3" t="s">
        <v>119</v>
      </c>
      <c r="D31" s="3" t="s">
        <v>120</v>
      </c>
      <c r="E31" s="3" t="s">
        <v>121</v>
      </c>
      <c r="F31" s="2" t="s">
        <v>72</v>
      </c>
      <c r="G31" s="2" t="s">
        <v>37</v>
      </c>
      <c r="H31" s="4" t="n">
        <v>46304</v>
      </c>
      <c r="I31" s="5" t="n">
        <f aca="true">IF(H31="","",TODAY()-H31)</f>
        <v>5</v>
      </c>
      <c r="J31" s="2" t="s">
        <v>43</v>
      </c>
      <c r="K31" s="2" t="s">
        <v>21</v>
      </c>
      <c r="L31" s="4"/>
      <c r="M31" s="6" t="s">
        <v>22</v>
      </c>
      <c r="N31" s="3" t="s">
        <v>122</v>
      </c>
      <c r="O31" s="4" t="n">
        <v>46309</v>
      </c>
    </row>
    <row r="32" customFormat="false" ht="23.85" hidden="false" customHeight="false" outlineLevel="0" collapsed="false">
      <c r="A32" s="2" t="n">
        <v>31</v>
      </c>
      <c r="B32" s="2" t="str">
        <f aca="false">IF(OR(ISNUMBER(SEARCH("mumbai",E32)),ISNUMBER(SEARCH("thane",E32)),ISNUMBER(SEARCH("remote",E32))),"1 Mumbai/Remote",IF(OR(E32="",E32="Verify"),"2 Verify location","3 Other city"))</f>
        <v>3 Other city</v>
      </c>
      <c r="C32" s="3" t="s">
        <v>123</v>
      </c>
      <c r="D32" s="3" t="s">
        <v>124</v>
      </c>
      <c r="E32" s="3" t="s">
        <v>125</v>
      </c>
      <c r="F32" s="2" t="s">
        <v>32</v>
      </c>
      <c r="G32" s="2" t="s">
        <v>28</v>
      </c>
      <c r="H32" s="4" t="n">
        <v>46303</v>
      </c>
      <c r="I32" s="5" t="n">
        <f aca="true">IF(H32="","",TODAY()-H32)</f>
        <v>6</v>
      </c>
      <c r="J32" s="2" t="s">
        <v>43</v>
      </c>
      <c r="K32" s="2" t="s">
        <v>21</v>
      </c>
      <c r="L32" s="4"/>
      <c r="M32" s="6" t="s">
        <v>22</v>
      </c>
      <c r="N32" s="3" t="s">
        <v>126</v>
      </c>
      <c r="O32" s="4" t="n">
        <v>46309</v>
      </c>
    </row>
    <row r="33" customFormat="false" ht="15" hidden="false" customHeight="false" outlineLevel="0" collapsed="false">
      <c r="A33" s="2" t="n">
        <v>32</v>
      </c>
      <c r="B33" s="2" t="str">
        <f aca="false">IF(OR(ISNUMBER(SEARCH("mumbai",E33)),ISNUMBER(SEARCH("thane",E33)),ISNUMBER(SEARCH("remote",E33))),"1 Mumbai/Remote",IF(OR(E33="",E33="Verify"),"2 Verify location","3 Other city"))</f>
        <v>3 Other city</v>
      </c>
      <c r="C33" s="3" t="s">
        <v>127</v>
      </c>
      <c r="D33" s="3" t="s">
        <v>128</v>
      </c>
      <c r="E33" s="3" t="s">
        <v>129</v>
      </c>
      <c r="F33" s="2" t="s">
        <v>130</v>
      </c>
      <c r="G33" s="2" t="s">
        <v>37</v>
      </c>
      <c r="H33" s="4" t="n">
        <v>46302</v>
      </c>
      <c r="I33" s="5" t="n">
        <f aca="true">IF(H33="","",TODAY()-H33)</f>
        <v>7</v>
      </c>
      <c r="J33" s="2" t="s">
        <v>43</v>
      </c>
      <c r="K33" s="2" t="s">
        <v>21</v>
      </c>
      <c r="L33" s="4"/>
      <c r="M33" s="6" t="s">
        <v>22</v>
      </c>
      <c r="N33" s="3" t="s">
        <v>76</v>
      </c>
      <c r="O33" s="4" t="n">
        <v>46309</v>
      </c>
    </row>
  </sheetData>
  <autoFilter ref="A1:O33"/>
  <conditionalFormatting sqref="J2:J1000">
    <cfRule type="cellIs" priority="2" operator="equal" aboveAverage="0" equalAverage="0" bottom="0" percent="0" rank="0" text="" dxfId="7">
      <formula>"High"</formula>
    </cfRule>
    <cfRule type="cellIs" priority="3" operator="equal" aboveAverage="0" equalAverage="0" bottom="0" percent="0" rank="0" text="" dxfId="8">
      <formula>"Medium"</formula>
    </cfRule>
    <cfRule type="cellIs" priority="4" operator="equal" aboveAverage="0" equalAverage="0" bottom="0" percent="0" rank="0" text="" dxfId="9">
      <formula>"Low"</formula>
    </cfRule>
  </conditionalFormatting>
  <conditionalFormatting sqref="B2:B1000">
    <cfRule type="expression" priority="5" aboveAverage="0" equalAverage="0" bottom="0" percent="0" rank="0" text="" dxfId="7">
      <formula>LEFT($B2,1)="1"</formula>
    </cfRule>
    <cfRule type="expression" priority="6" aboveAverage="0" equalAverage="0" bottom="0" percent="0" rank="0" text="" dxfId="8">
      <formula>LEFT($B2,1)="2"</formula>
    </cfRule>
    <cfRule type="expression" priority="7" aboveAverage="0" equalAverage="0" bottom="0" percent="0" rank="0" text="" dxfId="9">
      <formula>LEFT($B2,1)="3"</formula>
    </cfRule>
  </conditionalFormatting>
  <conditionalFormatting sqref="I2:I1000">
    <cfRule type="cellIs" priority="8" operator="greaterThan" aboveAverage="0" equalAverage="0" bottom="0" percent="0" rank="0" text="" dxfId="10">
      <formula>7</formula>
    </cfRule>
  </conditionalFormatting>
  <dataValidations count="2">
    <dataValidation allowBlank="false" errorStyle="stop" operator="between" showDropDown="false" showErrorMessage="false" showInputMessage="false" sqref="K2:K1000" type="list">
      <formula1>"Not applied,Applied,Interview,Offer,Rejected,Skipped"</formula1>
      <formula2>0</formula2>
    </dataValidation>
    <dataValidation allowBlank="true" errorStyle="stop" operator="between" showDropDown="false" showErrorMessage="false" showInputMessage="false" sqref="J2:J1000" type="list">
      <formula1>"High,Medium,Low"</formula1>
      <formula2>0</formula2>
    </dataValidation>
  </dataValidations>
  <hyperlinks>
    <hyperlink ref="M2" r:id="rId1" display="Open"/>
    <hyperlink ref="M3" r:id="rId2" display="Open"/>
    <hyperlink ref="M4" r:id="rId3" display="Open"/>
    <hyperlink ref="M5" r:id="rId4" display="Open"/>
    <hyperlink ref="M6" r:id="rId5" display="Open"/>
    <hyperlink ref="M7" r:id="rId6" display="Open"/>
    <hyperlink ref="M8" r:id="rId7" display="Open"/>
    <hyperlink ref="M9" r:id="rId8" display="Open"/>
    <hyperlink ref="M10" r:id="rId9" display="Open"/>
    <hyperlink ref="M11" r:id="rId10" display="Open"/>
    <hyperlink ref="M12" r:id="rId11" display="Open"/>
    <hyperlink ref="M13" r:id="rId12" display="Open"/>
    <hyperlink ref="M14" r:id="rId13" display="Open"/>
    <hyperlink ref="M15" r:id="rId14" display="Open"/>
    <hyperlink ref="M16" r:id="rId15" display="Open"/>
    <hyperlink ref="M17" r:id="rId16" display="Open"/>
    <hyperlink ref="M18" r:id="rId17" display="Open"/>
    <hyperlink ref="M19" r:id="rId18" display="Open"/>
    <hyperlink ref="M20" r:id="rId19" display="Open"/>
    <hyperlink ref="M21" r:id="rId20" display="Open"/>
    <hyperlink ref="M22" r:id="rId21" display="Open"/>
    <hyperlink ref="M23" r:id="rId22" display="Open"/>
    <hyperlink ref="M24" r:id="rId23" display="Open"/>
    <hyperlink ref="M25" r:id="rId24" display="Open"/>
    <hyperlink ref="M26" r:id="rId25" display="Open"/>
    <hyperlink ref="M27" r:id="rId26" display="Open"/>
    <hyperlink ref="M28" r:id="rId27" display="Open"/>
    <hyperlink ref="M29" r:id="rId28" display="Open"/>
    <hyperlink ref="M30" r:id="rId29" display="Open"/>
    <hyperlink ref="M31" r:id="rId30" display="Open"/>
    <hyperlink ref="M32" r:id="rId31" display="Open"/>
    <hyperlink ref="M33" r:id="rId32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7" t="s">
        <v>131</v>
      </c>
    </row>
    <row r="2" customFormat="false" ht="15" hidden="false" customHeight="false" outlineLevel="0" collapsed="false">
      <c r="A2" s="8" t="s">
        <v>132</v>
      </c>
      <c r="B2" s="9" t="s">
        <v>133</v>
      </c>
    </row>
    <row r="3" customFormat="false" ht="15" hidden="false" customHeight="false" outlineLevel="0" collapsed="false">
      <c r="A3" s="8" t="s">
        <v>134</v>
      </c>
      <c r="B3" s="10" t="n">
        <v>46309</v>
      </c>
    </row>
    <row r="4" customFormat="false" ht="15" hidden="false" customHeight="false" outlineLevel="0" collapsed="false">
      <c r="A4" s="8" t="s">
        <v>135</v>
      </c>
      <c r="B4" s="9" t="s">
        <v>136</v>
      </c>
    </row>
    <row r="5" customFormat="false" ht="23.85" hidden="false" customHeight="false" outlineLevel="0" collapsed="false">
      <c r="A5" s="8" t="s">
        <v>137</v>
      </c>
      <c r="B5" s="9" t="s">
        <v>138</v>
      </c>
    </row>
    <row r="6" customFormat="false" ht="15" hidden="false" customHeight="false" outlineLevel="0" collapsed="false">
      <c r="A6" s="8"/>
      <c r="B6" s="9"/>
    </row>
    <row r="7" customFormat="false" ht="15" hidden="false" customHeight="false" outlineLevel="0" collapsed="false">
      <c r="A7" s="8" t="s">
        <v>139</v>
      </c>
      <c r="B7" s="9" t="n">
        <f aca="false">COUNTA(Jobs!C2:C1000)</f>
        <v>32</v>
      </c>
    </row>
    <row r="8" customFormat="false" ht="15" hidden="false" customHeight="false" outlineLevel="0" collapsed="false">
      <c r="A8" s="8" t="s">
        <v>140</v>
      </c>
      <c r="B8" s="9" t="n">
        <f aca="false">COUNTIF(Jobs!B2:B1000,"1 Mumbai/Remote")</f>
        <v>15</v>
      </c>
    </row>
    <row r="9" customFormat="false" ht="15" hidden="false" customHeight="false" outlineLevel="0" collapsed="false">
      <c r="A9" s="8" t="s">
        <v>141</v>
      </c>
      <c r="B9" s="9" t="n">
        <f aca="false">COUNTIF(Jobs!B2:B1000,"2 Verify location")</f>
        <v>12</v>
      </c>
    </row>
    <row r="10" customFormat="false" ht="15" hidden="false" customHeight="false" outlineLevel="0" collapsed="false">
      <c r="A10" s="8" t="s">
        <v>142</v>
      </c>
      <c r="B10" s="9" t="n">
        <f aca="false">COUNTIF(Jobs!B2:B1000,"3 Other city")</f>
        <v>5</v>
      </c>
    </row>
    <row r="11" customFormat="false" ht="15" hidden="false" customHeight="false" outlineLevel="0" collapsed="false">
      <c r="A11" s="8"/>
      <c r="B11" s="9"/>
    </row>
    <row r="12" customFormat="false" ht="15" hidden="false" customHeight="false" outlineLevel="0" collapsed="false">
      <c r="A12" s="8" t="s">
        <v>143</v>
      </c>
      <c r="B12" s="9" t="n">
        <f aca="false">COUNTIF(Jobs!J2:J1000,"High")</f>
        <v>8</v>
      </c>
    </row>
    <row r="13" customFormat="false" ht="15" hidden="false" customHeight="false" outlineLevel="0" collapsed="false">
      <c r="A13" s="8" t="s">
        <v>144</v>
      </c>
      <c r="B13" s="9" t="n">
        <f aca="false">COUNTIF(Jobs!J2:J1000,"Medium")</f>
        <v>19</v>
      </c>
    </row>
    <row r="14" customFormat="false" ht="15" hidden="false" customHeight="false" outlineLevel="0" collapsed="false">
      <c r="A14" s="8" t="s">
        <v>145</v>
      </c>
      <c r="B14" s="9" t="n">
        <f aca="false">COUNTIF(Jobs!J2:J1000,"Low")</f>
        <v>5</v>
      </c>
    </row>
    <row r="15" customFormat="false" ht="15" hidden="false" customHeight="false" outlineLevel="0" collapsed="false">
      <c r="A15" s="8" t="s">
        <v>146</v>
      </c>
      <c r="B15" s="9" t="n">
        <f aca="false">COUNTIF(Jobs!K2:K1000,"Applied")</f>
        <v>0</v>
      </c>
    </row>
    <row r="16" customFormat="false" ht="15" hidden="false" customHeight="false" outlineLevel="0" collapsed="false">
      <c r="A16" s="8" t="s">
        <v>147</v>
      </c>
      <c r="B16" s="9" t="n">
        <f aca="false">COUNTIF(Jobs!K2:K1000,"Interview")</f>
        <v>0</v>
      </c>
    </row>
    <row r="17" customFormat="false" ht="15" hidden="false" customHeight="false" outlineLevel="0" collapsed="false">
      <c r="A17" s="8"/>
      <c r="B17" s="9"/>
    </row>
    <row r="18" customFormat="false" ht="15" hidden="false" customHeight="false" outlineLevel="0" collapsed="false">
      <c r="A18" s="8" t="s">
        <v>148</v>
      </c>
      <c r="B18" s="9" t="s">
        <v>149</v>
      </c>
    </row>
    <row r="19" customFormat="false" ht="46.25" hidden="false" customHeight="false" outlineLevel="0" collapsed="false">
      <c r="A19" s="8" t="s">
        <v>13</v>
      </c>
      <c r="B19" s="9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1" t="s">
        <v>2</v>
      </c>
      <c r="B1" s="11" t="s">
        <v>3</v>
      </c>
      <c r="C1" s="11" t="s">
        <v>151</v>
      </c>
      <c r="D1" s="11" t="s">
        <v>12</v>
      </c>
    </row>
    <row r="2" customFormat="false" ht="15" hidden="false" customHeight="false" outlineLevel="0" collapsed="false">
      <c r="A2" s="12" t="s">
        <v>152</v>
      </c>
      <c r="B2" s="12" t="s">
        <v>153</v>
      </c>
      <c r="C2" s="12" t="s">
        <v>154</v>
      </c>
      <c r="D2" s="12" t="s">
        <v>155</v>
      </c>
    </row>
    <row r="3" customFormat="false" ht="15" hidden="false" customHeight="false" outlineLevel="0" collapsed="false">
      <c r="A3" s="12" t="s">
        <v>152</v>
      </c>
      <c r="B3" s="12" t="s">
        <v>156</v>
      </c>
      <c r="C3" s="12" t="s">
        <v>154</v>
      </c>
      <c r="D3" s="12" t="s">
        <v>157</v>
      </c>
    </row>
    <row r="4" customFormat="false" ht="15" hidden="false" customHeight="false" outlineLevel="0" collapsed="false">
      <c r="A4" s="12" t="s">
        <v>152</v>
      </c>
      <c r="B4" s="12" t="s">
        <v>158</v>
      </c>
      <c r="C4" s="12" t="s">
        <v>154</v>
      </c>
      <c r="D4" s="12" t="s">
        <v>159</v>
      </c>
    </row>
    <row r="5" customFormat="false" ht="15" hidden="false" customHeight="false" outlineLevel="0" collapsed="false">
      <c r="A5" s="12" t="s">
        <v>152</v>
      </c>
      <c r="B5" s="12" t="s">
        <v>160</v>
      </c>
      <c r="C5" s="12" t="s">
        <v>154</v>
      </c>
      <c r="D5" s="12" t="s">
        <v>161</v>
      </c>
    </row>
    <row r="6" customFormat="false" ht="15" hidden="false" customHeight="false" outlineLevel="0" collapsed="false">
      <c r="A6" s="12" t="s">
        <v>162</v>
      </c>
      <c r="B6" s="12" t="s">
        <v>163</v>
      </c>
      <c r="C6" s="12" t="s">
        <v>154</v>
      </c>
      <c r="D6" s="1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2026-10-14T07:47:16Z</dcterms:created>
  <dc:creator>openpyxl</dc:creator>
  <dc:description/>
  <dc:language>en-US</dc:language>
  <cp:lastModifiedBy/>
  <dcterms:modified xsi:type="dcterms:W3CDTF">2026-10-14T07:47:16Z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